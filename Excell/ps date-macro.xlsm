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an 3 sem 2\Pachete software\"/>
    </mc:Choice>
  </mc:AlternateContent>
  <xr:revisionPtr revIDLastSave="0" documentId="13_ncr:1_{67A83137-4ADC-4BB9-A1AD-259AEE70A968}" xr6:coauthVersionLast="46" xr6:coauthVersionMax="46" xr10:uidLastSave="{00000000-0000-0000-0000-000000000000}"/>
  <bookViews>
    <workbookView xWindow="28680" yWindow="-120" windowWidth="29040" windowHeight="15840" activeTab="1" xr2:uid="{00000000-000D-0000-FFFF-FFFF00000000}"/>
  </bookViews>
  <sheets>
    <sheet name="Sheet2" sheetId="5" r:id="rId1"/>
    <sheet name="Sheet1" sheetId="1" r:id="rId2"/>
  </sheets>
  <functionGroups builtInGroupCount="19"/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1" l="1"/>
  <c r="J5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" i="1"/>
  <c r="E3" i="1"/>
  <c r="E4" i="1"/>
  <c r="E5" i="1"/>
  <c r="E6" i="1"/>
  <c r="E7" i="1"/>
  <c r="E8" i="1"/>
  <c r="E9" i="1"/>
  <c r="E10" i="1"/>
  <c r="E11" i="1"/>
  <c r="E12" i="1"/>
  <c r="E13" i="1"/>
  <c r="J3" i="1" s="1"/>
  <c r="E14" i="1"/>
  <c r="E15" i="1"/>
  <c r="E16" i="1"/>
  <c r="J7" i="1" s="1"/>
  <c r="E17" i="1"/>
  <c r="E18" i="1"/>
  <c r="E19" i="1"/>
  <c r="E20" i="1"/>
  <c r="E21" i="1"/>
  <c r="E2" i="1"/>
  <c r="O3" i="1" a="1"/>
  <c r="O5" i="1" a="1"/>
  <c r="O22" i="1" a="1"/>
  <c r="O19" i="1" a="1"/>
  <c r="O20" i="1" a="1"/>
  <c r="O34" i="1" a="1"/>
  <c r="O6" i="1" a="1"/>
  <c r="O13" i="1" a="1"/>
  <c r="O4" i="1" a="1"/>
  <c r="O11" i="1" a="1"/>
  <c r="O18" i="1" a="1"/>
  <c r="O9" i="1" a="1"/>
  <c r="O26" i="1" a="1"/>
  <c r="O23" i="1" a="1"/>
  <c r="O24" i="1" a="1"/>
  <c r="O31" i="1" a="1"/>
  <c r="O36" i="1" a="1"/>
  <c r="O35" i="1" a="1"/>
  <c r="O7" i="1" a="1"/>
  <c r="O14" i="1" a="1"/>
  <c r="O15" i="1" a="1"/>
  <c r="O39" i="1" a="1"/>
  <c r="O21" i="1" a="1"/>
  <c r="O30" i="1" a="1"/>
  <c r="O27" i="1" a="1"/>
  <c r="O32" i="1" a="1"/>
  <c r="O37" i="1" a="1"/>
  <c r="O38" i="1" a="1"/>
  <c r="O10" i="1" a="1"/>
  <c r="O25" i="1" a="1"/>
  <c r="O8" i="1" a="1"/>
  <c r="O2" i="1" a="1"/>
  <c r="O16" i="1" a="1"/>
  <c r="O12" i="1" a="1"/>
  <c r="O17" i="1" a="1"/>
  <c r="O33" i="1" a="1"/>
  <c r="O28" i="1" a="1"/>
  <c r="O29" i="1" a="1"/>
  <c r="O3" i="1" l="1"/>
  <c r="O39" i="1"/>
  <c r="O25" i="1"/>
  <c r="O13" i="1"/>
  <c r="O36" i="1"/>
  <c r="O32" i="1"/>
  <c r="O24" i="1"/>
  <c r="O20" i="1"/>
  <c r="O16" i="1"/>
  <c r="O8" i="1"/>
  <c r="O4" i="1"/>
  <c r="O35" i="1"/>
  <c r="O31" i="1"/>
  <c r="O27" i="1"/>
  <c r="O23" i="1"/>
  <c r="O19" i="1"/>
  <c r="O15" i="1"/>
  <c r="O11" i="1"/>
  <c r="O7" i="1"/>
  <c r="O38" i="1"/>
  <c r="O34" i="1"/>
  <c r="O30" i="1"/>
  <c r="O26" i="1"/>
  <c r="O22" i="1"/>
  <c r="O18" i="1"/>
  <c r="O14" i="1"/>
  <c r="O10" i="1"/>
  <c r="O6" i="1"/>
  <c r="O37" i="1"/>
  <c r="O21" i="1"/>
  <c r="O9" i="1"/>
  <c r="O5" i="1"/>
  <c r="O29" i="1"/>
  <c r="O28" i="1"/>
  <c r="O33" i="1"/>
  <c r="O17" i="1"/>
  <c r="O12" i="1"/>
  <c r="O2" i="1"/>
  <c r="J2" i="1"/>
  <c r="J4" i="1"/>
  <c r="J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<sst xmlns="http://schemas.openxmlformats.org/spreadsheetml/2006/main" count="140" uniqueCount="60">
  <si>
    <t>Categorie</t>
  </si>
  <si>
    <t>Tip produse</t>
  </si>
  <si>
    <t>Cantitate</t>
  </si>
  <si>
    <t>Pret mediu</t>
  </si>
  <si>
    <t>Venit brut</t>
  </si>
  <si>
    <t>Electrocasnice Mari</t>
  </si>
  <si>
    <t>Aparate frigorifice</t>
  </si>
  <si>
    <t>Aparate incorporabile</t>
  </si>
  <si>
    <t>Aragazuri</t>
  </si>
  <si>
    <t>Masini de spalat rufe</t>
  </si>
  <si>
    <t>Hote</t>
  </si>
  <si>
    <t>Telefoane-Tablete</t>
  </si>
  <si>
    <t>Smartphone</t>
  </si>
  <si>
    <t>Accesorii Smartphone</t>
  </si>
  <si>
    <t>Smartwatch si Smartbrand</t>
  </si>
  <si>
    <t>Periferice mobile</t>
  </si>
  <si>
    <t>Telefoane</t>
  </si>
  <si>
    <t>Televizoare</t>
  </si>
  <si>
    <t>TV, Audio-Video, Foto</t>
  </si>
  <si>
    <t>Portabile audio</t>
  </si>
  <si>
    <t>Foto-Video</t>
  </si>
  <si>
    <t>Audio HI-FI</t>
  </si>
  <si>
    <t>Accesorii Foto-Video</t>
  </si>
  <si>
    <t>Home Cinema</t>
  </si>
  <si>
    <t>Videoproiectoare si Accesorii</t>
  </si>
  <si>
    <t>Periferice si Accesorii TV-Audio</t>
  </si>
  <si>
    <t>Masini de spalat vase</t>
  </si>
  <si>
    <t>Tablete</t>
  </si>
  <si>
    <t>Discount final</t>
  </si>
  <si>
    <t>Laptop, IT</t>
  </si>
  <si>
    <t>Laptop</t>
  </si>
  <si>
    <t>Desktop PC si Monitoare</t>
  </si>
  <si>
    <t>Componente</t>
  </si>
  <si>
    <t>Accesorii laptop</t>
  </si>
  <si>
    <t>Periferice</t>
  </si>
  <si>
    <t>Retelistice</t>
  </si>
  <si>
    <t>Stocare date</t>
  </si>
  <si>
    <t>Imprimante si consumabile</t>
  </si>
  <si>
    <t>Software</t>
  </si>
  <si>
    <t>Ingrijire locuinta</t>
  </si>
  <si>
    <t>Ingrijire tesaturi</t>
  </si>
  <si>
    <t>Climatizare</t>
  </si>
  <si>
    <t>Electrocasnice bucatarie</t>
  </si>
  <si>
    <t>Preparare Cafea si Bauturi</t>
  </si>
  <si>
    <t>Prepare Paine</t>
  </si>
  <si>
    <t>Articole menaj</t>
  </si>
  <si>
    <t>Preparate alimente</t>
  </si>
  <si>
    <t>Cuptoare Microunde si Electrocasnice</t>
  </si>
  <si>
    <t>Procesare Alimente</t>
  </si>
  <si>
    <t>Row Labels</t>
  </si>
  <si>
    <t>Grand Total</t>
  </si>
  <si>
    <t>Sum of Venit brut</t>
  </si>
  <si>
    <t>Cantitate noua</t>
  </si>
  <si>
    <t>Climatizare,Ingrijire, Locuinta si Tesaturi</t>
  </si>
  <si>
    <t>Sum of Cantitate</t>
  </si>
  <si>
    <t>Preparare Paine</t>
  </si>
  <si>
    <t>Preparare alimente</t>
  </si>
  <si>
    <t>Discount</t>
  </si>
  <si>
    <t>Rata dobanzii</t>
  </si>
  <si>
    <t>Valoarea neta a investitiei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</si>
</sst>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9" fontId="0" fillId="0" borderId="0" xfId="0" applyNumberFormat="1"/>
    <xf numFmtId="0" fontId="1" fillId="0" borderId="0" xfId="1"/>
    <xf numFmtId="0" fontId="1" fillId="0" borderId="0" xfId="1"/>
    <xf numFmtId="0" fontId="1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8" fontId="0" fillId="0" borderId="0" xfId="0" applyNumberFormat="1"/>
  </cellXfs>
  <cellStyles count="2">
    <cellStyle name="Normal" xfId="0" builtinId="0"/>
    <cellStyle name="Normal 2" xfId="1" xr:uid="{2EC5E70F-52A2-4847-B488-2EFF137C2FF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D1A-4FE7-8BF7-4C78F8F3CDC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D1A-4FE7-8BF7-4C78F8F3CDC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D1A-4FE7-8BF7-4C78F8F3CDC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D1A-4FE7-8BF7-4C78F8F3CDC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D1A-4FE7-8BF7-4C78F8F3CDC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D1A-4FE7-8BF7-4C78F8F3CD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Sheet1!$I$2:$I$7</c:f>
              <c:strCache>
                <c:ptCount val="6"/>
                <c:pt idx="0">
                  <c:v>Electrocasnice Mari</c:v>
                </c:pt>
                <c:pt idx="1">
                  <c:v>Telefoane-Tablete</c:v>
                </c:pt>
                <c:pt idx="2">
                  <c:v>TV, Audio-Video, Foto</c:v>
                </c:pt>
                <c:pt idx="3">
                  <c:v>Laptop, IT</c:v>
                </c:pt>
                <c:pt idx="4">
                  <c:v>Climatizare,Ingrijire, Locuinta si Tesaturi</c:v>
                </c:pt>
                <c:pt idx="5">
                  <c:v>Electrocasnice bucatarie</c:v>
                </c:pt>
              </c:strCache>
            </c:strRef>
          </c:cat>
          <c:val>
            <c:numRef>
              <c:f>Sheet1!$J$2:$J$7</c:f>
              <c:numCache>
                <c:formatCode>General</c:formatCode>
                <c:ptCount val="6"/>
                <c:pt idx="0">
                  <c:v>619800</c:v>
                </c:pt>
                <c:pt idx="1">
                  <c:v>526400</c:v>
                </c:pt>
                <c:pt idx="2">
                  <c:v>525880</c:v>
                </c:pt>
                <c:pt idx="3">
                  <c:v>736020</c:v>
                </c:pt>
                <c:pt idx="4">
                  <c:v>420250</c:v>
                </c:pt>
                <c:pt idx="5">
                  <c:v>156536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C2-484E-BED4-BC71AB9FE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8</xdr:row>
      <xdr:rowOff>23811</xdr:rowOff>
    </xdr:from>
    <xdr:to>
      <xdr:col>12</xdr:col>
      <xdr:colOff>495300</xdr:colOff>
      <xdr:row>27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8513E04-2678-4196-89E0-C05DC24B9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4334.573931597224" createdVersion="7" refreshedVersion="7" minRefreshableVersion="3" recordCount="38" xr:uid="{0331604F-6AE1-4B86-8BFB-0981C85239B2}">
  <cacheSource type="worksheet">
    <worksheetSource ref="A1:E39" sheet="Sheet1"/>
  </cacheSource>
  <cacheFields count="5">
    <cacheField name="Categorie" numFmtId="0">
      <sharedItems count="6">
        <s v="Electrocasnice Mari"/>
        <s v="Telefoane-Tablete"/>
        <s v="TV, Audio-Video, Foto"/>
        <s v="Laptop, IT"/>
        <s v="Climatizare,Ingrijire, Locuinta si Tesaturi"/>
        <s v="Electrocasnice bucatarie"/>
      </sharedItems>
    </cacheField>
    <cacheField name="Tip produse" numFmtId="0">
      <sharedItems count="38">
        <s v="Aparate frigorifice"/>
        <s v="Aparate incorporabile"/>
        <s v="Masini de spalat vase"/>
        <s v="Aragazuri"/>
        <s v="Masini de spalat rufe"/>
        <s v="Hote"/>
        <s v="Smartphone"/>
        <s v="Accesorii Smartphone"/>
        <s v="Smartwatch si Smartbrand"/>
        <s v="Tablete"/>
        <s v="Periferice mobile"/>
        <s v="Telefoane"/>
        <s v="Televizoare"/>
        <s v="Portabile audio"/>
        <s v="Foto-Video"/>
        <s v="Audio HI-FI"/>
        <s v="Accesorii Foto-Video"/>
        <s v="Home Cinema"/>
        <s v="Videoproiectoare si Accesorii"/>
        <s v="Periferice si Accesorii TV-Audio"/>
        <s v="Laptop"/>
        <s v="Desktop PC si Monitoare"/>
        <s v="Componente"/>
        <s v="Accesorii laptop"/>
        <s v="Periferice"/>
        <s v="Retelistice"/>
        <s v="Stocare date"/>
        <s v="Imprimante si consumabile"/>
        <s v="Software"/>
        <s v="Ingrijire locuinta"/>
        <s v="Ingrijire tesaturi"/>
        <s v="Climatizare"/>
        <s v="Preparare Cafea si Bauturi"/>
        <s v="Prepare Paine"/>
        <s v="Articole menaj"/>
        <s v="Preparate alimente"/>
        <s v="Cuptoare Microunde si Electrocasnice"/>
        <s v="Procesare Alimente"/>
      </sharedItems>
    </cacheField>
    <cacheField name="Cantitate" numFmtId="0">
      <sharedItems containsSemiMixedTypes="0" containsString="0" containsNumber="1" containsInteger="1" minValue="16" maxValue="377"/>
    </cacheField>
    <cacheField name="Pret mediu" numFmtId="0">
      <sharedItems containsSemiMixedTypes="0" containsString="0" containsNumber="1" containsInteger="1" minValue="50" maxValue="4800"/>
    </cacheField>
    <cacheField name="Venit brut" numFmtId="0">
      <sharedItems containsSemiMixedTypes="0" containsString="0" containsNumber="1" containsInteger="1" minValue="1620" maxValue="8256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n v="223"/>
    <n v="2500"/>
    <n v="557500"/>
  </r>
  <r>
    <x v="0"/>
    <x v="1"/>
    <n v="290"/>
    <n v="2000"/>
    <n v="580000"/>
  </r>
  <r>
    <x v="0"/>
    <x v="2"/>
    <n v="47"/>
    <n v="1500"/>
    <n v="70500"/>
  </r>
  <r>
    <x v="0"/>
    <x v="3"/>
    <n v="34"/>
    <n v="1000"/>
    <n v="34000"/>
  </r>
  <r>
    <x v="0"/>
    <x v="4"/>
    <n v="223"/>
    <n v="1500"/>
    <n v="334500"/>
  </r>
  <r>
    <x v="0"/>
    <x v="5"/>
    <n v="89"/>
    <n v="700"/>
    <n v="62300"/>
  </r>
  <r>
    <x v="1"/>
    <x v="6"/>
    <n v="166"/>
    <n v="2800"/>
    <n v="464800"/>
  </r>
  <r>
    <x v="1"/>
    <x v="7"/>
    <n v="230"/>
    <n v="50"/>
    <n v="11500"/>
  </r>
  <r>
    <x v="1"/>
    <x v="8"/>
    <n v="109"/>
    <n v="1000"/>
    <n v="109000"/>
  </r>
  <r>
    <x v="1"/>
    <x v="9"/>
    <n v="100"/>
    <n v="500"/>
    <n v="50000"/>
  </r>
  <r>
    <x v="1"/>
    <x v="10"/>
    <n v="191"/>
    <n v="50"/>
    <n v="9550"/>
  </r>
  <r>
    <x v="1"/>
    <x v="11"/>
    <n v="22"/>
    <n v="2800"/>
    <n v="61600"/>
  </r>
  <r>
    <x v="2"/>
    <x v="12"/>
    <n v="186"/>
    <n v="2780"/>
    <n v="517080"/>
  </r>
  <r>
    <x v="2"/>
    <x v="13"/>
    <n v="377"/>
    <n v="150"/>
    <n v="56550"/>
  </r>
  <r>
    <x v="2"/>
    <x v="14"/>
    <n v="16"/>
    <n v="1700"/>
    <n v="27200"/>
  </r>
  <r>
    <x v="2"/>
    <x v="15"/>
    <n v="115"/>
    <n v="500"/>
    <n v="57500"/>
  </r>
  <r>
    <x v="2"/>
    <x v="16"/>
    <n v="86"/>
    <n v="150"/>
    <n v="12900"/>
  </r>
  <r>
    <x v="2"/>
    <x v="17"/>
    <n v="36"/>
    <n v="150"/>
    <n v="5400"/>
  </r>
  <r>
    <x v="2"/>
    <x v="18"/>
    <n v="17"/>
    <n v="1600"/>
    <n v="27200"/>
  </r>
  <r>
    <x v="2"/>
    <x v="19"/>
    <n v="176"/>
    <n v="50"/>
    <n v="8800"/>
  </r>
  <r>
    <x v="3"/>
    <x v="20"/>
    <n v="216"/>
    <n v="3400"/>
    <n v="734400"/>
  </r>
  <r>
    <x v="3"/>
    <x v="21"/>
    <n v="172"/>
    <n v="4800"/>
    <n v="825600"/>
  </r>
  <r>
    <x v="3"/>
    <x v="22"/>
    <n v="67"/>
    <n v="250"/>
    <n v="16750"/>
  </r>
  <r>
    <x v="3"/>
    <x v="23"/>
    <n v="207"/>
    <n v="80"/>
    <n v="16560"/>
  </r>
  <r>
    <x v="3"/>
    <x v="24"/>
    <n v="283"/>
    <n v="150"/>
    <n v="42450"/>
  </r>
  <r>
    <x v="3"/>
    <x v="25"/>
    <n v="144"/>
    <n v="220"/>
    <n v="31680"/>
  </r>
  <r>
    <x v="3"/>
    <x v="26"/>
    <n v="118"/>
    <n v="815"/>
    <n v="96170"/>
  </r>
  <r>
    <x v="3"/>
    <x v="27"/>
    <n v="133"/>
    <n v="1200"/>
    <n v="159600"/>
  </r>
  <r>
    <x v="3"/>
    <x v="28"/>
    <n v="18"/>
    <n v="90"/>
    <n v="1620"/>
  </r>
  <r>
    <x v="4"/>
    <x v="29"/>
    <n v="205"/>
    <n v="970"/>
    <n v="198850"/>
  </r>
  <r>
    <x v="4"/>
    <x v="30"/>
    <n v="86"/>
    <n v="470"/>
    <n v="40420"/>
  </r>
  <r>
    <x v="4"/>
    <x v="31"/>
    <n v="123"/>
    <n v="1800"/>
    <n v="221400"/>
  </r>
  <r>
    <x v="5"/>
    <x v="32"/>
    <n v="232"/>
    <n v="590"/>
    <n v="136880"/>
  </r>
  <r>
    <x v="5"/>
    <x v="33"/>
    <n v="51"/>
    <n v="100"/>
    <n v="5100"/>
  </r>
  <r>
    <x v="5"/>
    <x v="34"/>
    <n v="43"/>
    <n v="99"/>
    <n v="4257"/>
  </r>
  <r>
    <x v="5"/>
    <x v="35"/>
    <n v="152"/>
    <n v="350"/>
    <n v="53200"/>
  </r>
  <r>
    <x v="5"/>
    <x v="36"/>
    <n v="34"/>
    <n v="510"/>
    <n v="17340"/>
  </r>
  <r>
    <x v="5"/>
    <x v="37"/>
    <n v="42"/>
    <n v="468"/>
    <n v="196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6C1517-0EDC-435F-938F-93906F3A0B7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48" firstHeaderRow="0" firstDataRow="1" firstDataCol="1"/>
  <pivotFields count="5">
    <pivotField axis="axisRow" showAll="0">
      <items count="7">
        <item x="4"/>
        <item x="5"/>
        <item x="0"/>
        <item x="3"/>
        <item x="1"/>
        <item x="2"/>
        <item t="default"/>
      </items>
    </pivotField>
    <pivotField axis="axisRow" showAll="0">
      <items count="39">
        <item x="16"/>
        <item x="23"/>
        <item x="7"/>
        <item x="0"/>
        <item x="1"/>
        <item x="3"/>
        <item x="34"/>
        <item x="15"/>
        <item x="31"/>
        <item x="22"/>
        <item x="36"/>
        <item x="21"/>
        <item x="14"/>
        <item x="17"/>
        <item x="5"/>
        <item x="27"/>
        <item x="29"/>
        <item x="30"/>
        <item x="20"/>
        <item x="4"/>
        <item x="2"/>
        <item x="24"/>
        <item x="10"/>
        <item x="19"/>
        <item x="13"/>
        <item x="32"/>
        <item x="35"/>
        <item x="33"/>
        <item x="37"/>
        <item x="25"/>
        <item x="6"/>
        <item x="8"/>
        <item x="28"/>
        <item x="26"/>
        <item x="9"/>
        <item x="11"/>
        <item x="12"/>
        <item x="18"/>
        <item t="default"/>
      </items>
    </pivotField>
    <pivotField dataField="1" showAll="0"/>
    <pivotField showAll="0"/>
    <pivotField dataField="1" showAll="0"/>
  </pivotFields>
  <rowFields count="2">
    <field x="0"/>
    <field x="1"/>
  </rowFields>
  <rowItems count="45">
    <i>
      <x/>
    </i>
    <i r="1">
      <x v="8"/>
    </i>
    <i r="1">
      <x v="16"/>
    </i>
    <i r="1">
      <x v="17"/>
    </i>
    <i>
      <x v="1"/>
    </i>
    <i r="1">
      <x v="6"/>
    </i>
    <i r="1">
      <x v="10"/>
    </i>
    <i r="1">
      <x v="25"/>
    </i>
    <i r="1">
      <x v="26"/>
    </i>
    <i r="1">
      <x v="27"/>
    </i>
    <i r="1">
      <x v="28"/>
    </i>
    <i>
      <x v="2"/>
    </i>
    <i r="1">
      <x v="3"/>
    </i>
    <i r="1">
      <x v="4"/>
    </i>
    <i r="1">
      <x v="5"/>
    </i>
    <i r="1">
      <x v="14"/>
    </i>
    <i r="1">
      <x v="19"/>
    </i>
    <i r="1">
      <x v="20"/>
    </i>
    <i>
      <x v="3"/>
    </i>
    <i r="1">
      <x v="1"/>
    </i>
    <i r="1">
      <x v="9"/>
    </i>
    <i r="1">
      <x v="11"/>
    </i>
    <i r="1">
      <x v="15"/>
    </i>
    <i r="1">
      <x v="18"/>
    </i>
    <i r="1">
      <x v="21"/>
    </i>
    <i r="1">
      <x v="29"/>
    </i>
    <i r="1">
      <x v="32"/>
    </i>
    <i r="1">
      <x v="33"/>
    </i>
    <i>
      <x v="4"/>
    </i>
    <i r="1">
      <x v="2"/>
    </i>
    <i r="1">
      <x v="22"/>
    </i>
    <i r="1">
      <x v="30"/>
    </i>
    <i r="1">
      <x v="31"/>
    </i>
    <i r="1">
      <x v="34"/>
    </i>
    <i r="1">
      <x v="35"/>
    </i>
    <i>
      <x v="5"/>
    </i>
    <i r="1">
      <x/>
    </i>
    <i r="1">
      <x v="7"/>
    </i>
    <i r="1">
      <x v="12"/>
    </i>
    <i r="1">
      <x v="13"/>
    </i>
    <i r="1">
      <x v="23"/>
    </i>
    <i r="1">
      <x v="24"/>
    </i>
    <i r="1">
      <x v="36"/>
    </i>
    <i r="1">
      <x v="3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Venit brut" fld="4" baseField="0" baseItem="0"/>
    <dataField name="Sum of Cantit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1E07C-5ADA-4CB7-B99F-A6F3783491C8}">
  <sheetPr codeName="Sheet1"/>
  <dimension ref="A3:C48"/>
  <sheetViews>
    <sheetView workbookViewId="0">
      <selection activeCell="P6" sqref="P6"/>
    </sheetView>
  </sheetViews>
  <sheetFormatPr defaultRowHeight="15" x14ac:dyDescent="0.25"/>
  <cols>
    <col min="1" max="1" width="39.140625" bestFit="1" customWidth="1"/>
    <col min="2" max="2" width="16.7109375" bestFit="1" customWidth="1"/>
    <col min="3" max="3" width="15.85546875" bestFit="1" customWidth="1"/>
  </cols>
  <sheetData>
    <row r="3" spans="1:3" x14ac:dyDescent="0.25">
      <c r="A3" s="5" t="s">
        <v>49</v>
      </c>
      <c r="B3" t="s">
        <v>51</v>
      </c>
      <c r="C3" t="s">
        <v>54</v>
      </c>
    </row>
    <row r="4" spans="1:3" x14ac:dyDescent="0.25">
      <c r="A4" s="6" t="s">
        <v>53</v>
      </c>
      <c r="B4" s="7">
        <v>460670</v>
      </c>
      <c r="C4" s="7">
        <v>414</v>
      </c>
    </row>
    <row r="5" spans="1:3" x14ac:dyDescent="0.25">
      <c r="A5" s="8" t="s">
        <v>41</v>
      </c>
      <c r="B5" s="7">
        <v>221400</v>
      </c>
      <c r="C5" s="7">
        <v>123</v>
      </c>
    </row>
    <row r="6" spans="1:3" x14ac:dyDescent="0.25">
      <c r="A6" s="8" t="s">
        <v>39</v>
      </c>
      <c r="B6" s="7">
        <v>198850</v>
      </c>
      <c r="C6" s="7">
        <v>205</v>
      </c>
    </row>
    <row r="7" spans="1:3" x14ac:dyDescent="0.25">
      <c r="A7" s="8" t="s">
        <v>40</v>
      </c>
      <c r="B7" s="7">
        <v>40420</v>
      </c>
      <c r="C7" s="7">
        <v>86</v>
      </c>
    </row>
    <row r="8" spans="1:3" x14ac:dyDescent="0.25">
      <c r="A8" s="6" t="s">
        <v>42</v>
      </c>
      <c r="B8" s="7">
        <v>236433</v>
      </c>
      <c r="C8" s="7">
        <v>554</v>
      </c>
    </row>
    <row r="9" spans="1:3" x14ac:dyDescent="0.25">
      <c r="A9" s="8" t="s">
        <v>45</v>
      </c>
      <c r="B9" s="7">
        <v>4257</v>
      </c>
      <c r="C9" s="7">
        <v>43</v>
      </c>
    </row>
    <row r="10" spans="1:3" x14ac:dyDescent="0.25">
      <c r="A10" s="8" t="s">
        <v>47</v>
      </c>
      <c r="B10" s="7">
        <v>17340</v>
      </c>
      <c r="C10" s="7">
        <v>34</v>
      </c>
    </row>
    <row r="11" spans="1:3" x14ac:dyDescent="0.25">
      <c r="A11" s="8" t="s">
        <v>43</v>
      </c>
      <c r="B11" s="7">
        <v>136880</v>
      </c>
      <c r="C11" s="7">
        <v>232</v>
      </c>
    </row>
    <row r="12" spans="1:3" x14ac:dyDescent="0.25">
      <c r="A12" s="8" t="s">
        <v>46</v>
      </c>
      <c r="B12" s="7">
        <v>53200</v>
      </c>
      <c r="C12" s="7">
        <v>152</v>
      </c>
    </row>
    <row r="13" spans="1:3" x14ac:dyDescent="0.25">
      <c r="A13" s="8" t="s">
        <v>44</v>
      </c>
      <c r="B13" s="7">
        <v>5100</v>
      </c>
      <c r="C13" s="7">
        <v>51</v>
      </c>
    </row>
    <row r="14" spans="1:3" x14ac:dyDescent="0.25">
      <c r="A14" s="8" t="s">
        <v>48</v>
      </c>
      <c r="B14" s="7">
        <v>19656</v>
      </c>
      <c r="C14" s="7">
        <v>42</v>
      </c>
    </row>
    <row r="15" spans="1:3" x14ac:dyDescent="0.25">
      <c r="A15" s="6" t="s">
        <v>5</v>
      </c>
      <c r="B15" s="7">
        <v>1638800</v>
      </c>
      <c r="C15" s="7">
        <v>906</v>
      </c>
    </row>
    <row r="16" spans="1:3" x14ac:dyDescent="0.25">
      <c r="A16" s="8" t="s">
        <v>6</v>
      </c>
      <c r="B16" s="7">
        <v>557500</v>
      </c>
      <c r="C16" s="7">
        <v>223</v>
      </c>
    </row>
    <row r="17" spans="1:3" x14ac:dyDescent="0.25">
      <c r="A17" s="8" t="s">
        <v>7</v>
      </c>
      <c r="B17" s="7">
        <v>580000</v>
      </c>
      <c r="C17" s="7">
        <v>290</v>
      </c>
    </row>
    <row r="18" spans="1:3" x14ac:dyDescent="0.25">
      <c r="A18" s="8" t="s">
        <v>8</v>
      </c>
      <c r="B18" s="7">
        <v>34000</v>
      </c>
      <c r="C18" s="7">
        <v>34</v>
      </c>
    </row>
    <row r="19" spans="1:3" x14ac:dyDescent="0.25">
      <c r="A19" s="8" t="s">
        <v>10</v>
      </c>
      <c r="B19" s="7">
        <v>62300</v>
      </c>
      <c r="C19" s="7">
        <v>89</v>
      </c>
    </row>
    <row r="20" spans="1:3" x14ac:dyDescent="0.25">
      <c r="A20" s="8" t="s">
        <v>9</v>
      </c>
      <c r="B20" s="7">
        <v>334500</v>
      </c>
      <c r="C20" s="7">
        <v>223</v>
      </c>
    </row>
    <row r="21" spans="1:3" x14ac:dyDescent="0.25">
      <c r="A21" s="8" t="s">
        <v>26</v>
      </c>
      <c r="B21" s="7">
        <v>70500</v>
      </c>
      <c r="C21" s="7">
        <v>47</v>
      </c>
    </row>
    <row r="22" spans="1:3" x14ac:dyDescent="0.25">
      <c r="A22" s="6" t="s">
        <v>29</v>
      </c>
      <c r="B22" s="7">
        <v>1924830</v>
      </c>
      <c r="C22" s="7">
        <v>1358</v>
      </c>
    </row>
    <row r="23" spans="1:3" x14ac:dyDescent="0.25">
      <c r="A23" s="8" t="s">
        <v>33</v>
      </c>
      <c r="B23" s="7">
        <v>16560</v>
      </c>
      <c r="C23" s="7">
        <v>207</v>
      </c>
    </row>
    <row r="24" spans="1:3" x14ac:dyDescent="0.25">
      <c r="A24" s="8" t="s">
        <v>32</v>
      </c>
      <c r="B24" s="7">
        <v>16750</v>
      </c>
      <c r="C24" s="7">
        <v>67</v>
      </c>
    </row>
    <row r="25" spans="1:3" x14ac:dyDescent="0.25">
      <c r="A25" s="8" t="s">
        <v>31</v>
      </c>
      <c r="B25" s="7">
        <v>825600</v>
      </c>
      <c r="C25" s="7">
        <v>172</v>
      </c>
    </row>
    <row r="26" spans="1:3" x14ac:dyDescent="0.25">
      <c r="A26" s="8" t="s">
        <v>37</v>
      </c>
      <c r="B26" s="7">
        <v>159600</v>
      </c>
      <c r="C26" s="7">
        <v>133</v>
      </c>
    </row>
    <row r="27" spans="1:3" x14ac:dyDescent="0.25">
      <c r="A27" s="8" t="s">
        <v>30</v>
      </c>
      <c r="B27" s="7">
        <v>734400</v>
      </c>
      <c r="C27" s="7">
        <v>216</v>
      </c>
    </row>
    <row r="28" spans="1:3" x14ac:dyDescent="0.25">
      <c r="A28" s="8" t="s">
        <v>34</v>
      </c>
      <c r="B28" s="7">
        <v>42450</v>
      </c>
      <c r="C28" s="7">
        <v>283</v>
      </c>
    </row>
    <row r="29" spans="1:3" x14ac:dyDescent="0.25">
      <c r="A29" s="8" t="s">
        <v>35</v>
      </c>
      <c r="B29" s="7">
        <v>31680</v>
      </c>
      <c r="C29" s="7">
        <v>144</v>
      </c>
    </row>
    <row r="30" spans="1:3" x14ac:dyDescent="0.25">
      <c r="A30" s="8" t="s">
        <v>38</v>
      </c>
      <c r="B30" s="7">
        <v>1620</v>
      </c>
      <c r="C30" s="7">
        <v>18</v>
      </c>
    </row>
    <row r="31" spans="1:3" x14ac:dyDescent="0.25">
      <c r="A31" s="8" t="s">
        <v>36</v>
      </c>
      <c r="B31" s="7">
        <v>96170</v>
      </c>
      <c r="C31" s="7">
        <v>118</v>
      </c>
    </row>
    <row r="32" spans="1:3" x14ac:dyDescent="0.25">
      <c r="A32" s="6" t="s">
        <v>11</v>
      </c>
      <c r="B32" s="7">
        <v>706450</v>
      </c>
      <c r="C32" s="7">
        <v>818</v>
      </c>
    </row>
    <row r="33" spans="1:3" x14ac:dyDescent="0.25">
      <c r="A33" s="8" t="s">
        <v>13</v>
      </c>
      <c r="B33" s="7">
        <v>11500</v>
      </c>
      <c r="C33" s="7">
        <v>230</v>
      </c>
    </row>
    <row r="34" spans="1:3" x14ac:dyDescent="0.25">
      <c r="A34" s="8" t="s">
        <v>15</v>
      </c>
      <c r="B34" s="7">
        <v>9550</v>
      </c>
      <c r="C34" s="7">
        <v>191</v>
      </c>
    </row>
    <row r="35" spans="1:3" x14ac:dyDescent="0.25">
      <c r="A35" s="8" t="s">
        <v>12</v>
      </c>
      <c r="B35" s="7">
        <v>464800</v>
      </c>
      <c r="C35" s="7">
        <v>166</v>
      </c>
    </row>
    <row r="36" spans="1:3" x14ac:dyDescent="0.25">
      <c r="A36" s="8" t="s">
        <v>14</v>
      </c>
      <c r="B36" s="7">
        <v>109000</v>
      </c>
      <c r="C36" s="7">
        <v>109</v>
      </c>
    </row>
    <row r="37" spans="1:3" x14ac:dyDescent="0.25">
      <c r="A37" s="8" t="s">
        <v>27</v>
      </c>
      <c r="B37" s="7">
        <v>50000</v>
      </c>
      <c r="C37" s="7">
        <v>100</v>
      </c>
    </row>
    <row r="38" spans="1:3" x14ac:dyDescent="0.25">
      <c r="A38" s="8" t="s">
        <v>16</v>
      </c>
      <c r="B38" s="7">
        <v>61600</v>
      </c>
      <c r="C38" s="7">
        <v>22</v>
      </c>
    </row>
    <row r="39" spans="1:3" x14ac:dyDescent="0.25">
      <c r="A39" s="6" t="s">
        <v>18</v>
      </c>
      <c r="B39" s="7">
        <v>712630</v>
      </c>
      <c r="C39" s="7">
        <v>1009</v>
      </c>
    </row>
    <row r="40" spans="1:3" x14ac:dyDescent="0.25">
      <c r="A40" s="8" t="s">
        <v>22</v>
      </c>
      <c r="B40" s="7">
        <v>12900</v>
      </c>
      <c r="C40" s="7">
        <v>86</v>
      </c>
    </row>
    <row r="41" spans="1:3" x14ac:dyDescent="0.25">
      <c r="A41" s="8" t="s">
        <v>21</v>
      </c>
      <c r="B41" s="7">
        <v>57500</v>
      </c>
      <c r="C41" s="7">
        <v>115</v>
      </c>
    </row>
    <row r="42" spans="1:3" x14ac:dyDescent="0.25">
      <c r="A42" s="8" t="s">
        <v>20</v>
      </c>
      <c r="B42" s="7">
        <v>27200</v>
      </c>
      <c r="C42" s="7">
        <v>16</v>
      </c>
    </row>
    <row r="43" spans="1:3" x14ac:dyDescent="0.25">
      <c r="A43" s="8" t="s">
        <v>23</v>
      </c>
      <c r="B43" s="7">
        <v>5400</v>
      </c>
      <c r="C43" s="7">
        <v>36</v>
      </c>
    </row>
    <row r="44" spans="1:3" x14ac:dyDescent="0.25">
      <c r="A44" s="8" t="s">
        <v>25</v>
      </c>
      <c r="B44" s="7">
        <v>8800</v>
      </c>
      <c r="C44" s="7">
        <v>176</v>
      </c>
    </row>
    <row r="45" spans="1:3" x14ac:dyDescent="0.25">
      <c r="A45" s="8" t="s">
        <v>19</v>
      </c>
      <c r="B45" s="7">
        <v>56550</v>
      </c>
      <c r="C45" s="7">
        <v>377</v>
      </c>
    </row>
    <row r="46" spans="1:3" x14ac:dyDescent="0.25">
      <c r="A46" s="8" t="s">
        <v>17</v>
      </c>
      <c r="B46" s="7">
        <v>517080</v>
      </c>
      <c r="C46" s="7">
        <v>186</v>
      </c>
    </row>
    <row r="47" spans="1:3" x14ac:dyDescent="0.25">
      <c r="A47" s="8" t="s">
        <v>24</v>
      </c>
      <c r="B47" s="7">
        <v>27200</v>
      </c>
      <c r="C47" s="7">
        <v>17</v>
      </c>
    </row>
    <row r="48" spans="1:3" x14ac:dyDescent="0.25">
      <c r="A48" s="6" t="s">
        <v>50</v>
      </c>
      <c r="B48" s="7">
        <v>5679813</v>
      </c>
      <c r="C48" s="7">
        <v>5059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39"/>
  <sheetViews>
    <sheetView tabSelected="1" workbookViewId="0">
      <selection activeCell="J34" sqref="J34"/>
    </sheetView>
  </sheetViews>
  <sheetFormatPr defaultRowHeight="15" x14ac:dyDescent="0.25"/>
  <cols>
    <col min="1" max="1" width="38.42578125" customWidth="1"/>
    <col min="2" max="2" width="29.7109375" customWidth="1"/>
    <col min="3" max="3" width="16.42578125" customWidth="1"/>
    <col min="4" max="4" width="16.85546875" customWidth="1"/>
    <col min="5" max="5" width="14.85546875" customWidth="1"/>
    <col min="6" max="6" width="14.7109375" customWidth="1"/>
    <col min="7" max="7" width="17.7109375" customWidth="1"/>
    <col min="9" max="9" width="40" customWidth="1"/>
    <col min="12" max="12" width="25.28515625" customWidth="1"/>
    <col min="15" max="15" width="17.8554687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57</v>
      </c>
      <c r="G1" t="s">
        <v>28</v>
      </c>
      <c r="L1" t="s">
        <v>58</v>
      </c>
      <c r="O1" t="s">
        <v>52</v>
      </c>
    </row>
    <row r="2" spans="1:15" x14ac:dyDescent="0.25">
      <c r="A2" t="s">
        <v>5</v>
      </c>
      <c r="B2" t="s">
        <v>6</v>
      </c>
      <c r="C2">
        <v>223</v>
      </c>
      <c r="D2">
        <v>2500</v>
      </c>
      <c r="E2">
        <f t="shared" ref="E2:E21" si="0">C2*D2</f>
        <v>557500</v>
      </c>
      <c r="F2" s="1">
        <v>0.2</v>
      </c>
      <c r="G2">
        <f t="shared" ref="G2:G21" si="1">IF(F2&gt;0.2,F2-0.05,F2)</f>
        <v>0.2</v>
      </c>
      <c r="I2" t="s">
        <v>5</v>
      </c>
      <c r="J2">
        <f>SUM(E2,E7)</f>
        <v>619800</v>
      </c>
      <c r="L2">
        <v>0.08</v>
      </c>
      <c r="O2" cm="1">
        <f t="array" ref="O2">cresteCantitatea(A2,C2)</f>
        <v>233</v>
      </c>
    </row>
    <row r="3" spans="1:15" x14ac:dyDescent="0.25">
      <c r="A3" t="s">
        <v>5</v>
      </c>
      <c r="B3" t="s">
        <v>7</v>
      </c>
      <c r="C3">
        <v>290</v>
      </c>
      <c r="D3">
        <v>2000</v>
      </c>
      <c r="E3">
        <f t="shared" si="0"/>
        <v>580000</v>
      </c>
      <c r="F3">
        <v>0.3</v>
      </c>
      <c r="G3">
        <f t="shared" si="1"/>
        <v>0.25</v>
      </c>
      <c r="I3" t="s">
        <v>11</v>
      </c>
      <c r="J3">
        <f>SUM(E8,E13)</f>
        <v>526400</v>
      </c>
      <c r="O3" cm="1">
        <f t="array" ref="O3">cresteCantitatea(A3,C3)</f>
        <v>300</v>
      </c>
    </row>
    <row r="4" spans="1:15" x14ac:dyDescent="0.25">
      <c r="A4" t="s">
        <v>5</v>
      </c>
      <c r="B4" t="s">
        <v>26</v>
      </c>
      <c r="C4">
        <v>47</v>
      </c>
      <c r="D4">
        <v>1500</v>
      </c>
      <c r="E4">
        <f t="shared" si="0"/>
        <v>70500</v>
      </c>
      <c r="F4">
        <v>0.15</v>
      </c>
      <c r="G4">
        <f t="shared" si="1"/>
        <v>0.15</v>
      </c>
      <c r="I4" t="s">
        <v>18</v>
      </c>
      <c r="J4">
        <f>SUM(E14,E21)</f>
        <v>525880</v>
      </c>
      <c r="L4" t="s">
        <v>59</v>
      </c>
      <c r="O4" cm="1">
        <f t="array" ref="O4">cresteCantitatea(A4,C4)</f>
        <v>57</v>
      </c>
    </row>
    <row r="5" spans="1:15" x14ac:dyDescent="0.25">
      <c r="A5" t="s">
        <v>5</v>
      </c>
      <c r="B5" t="s">
        <v>8</v>
      </c>
      <c r="C5">
        <v>34</v>
      </c>
      <c r="D5">
        <v>1000</v>
      </c>
      <c r="E5">
        <f t="shared" si="0"/>
        <v>34000</v>
      </c>
      <c r="F5">
        <v>0.4</v>
      </c>
      <c r="G5">
        <f t="shared" si="1"/>
        <v>0.35000000000000003</v>
      </c>
      <c r="I5" t="s">
        <v>29</v>
      </c>
      <c r="J5">
        <f>SUM(E22,E30)</f>
        <v>736020</v>
      </c>
      <c r="L5" s="9">
        <f>NPV(L2,J2:J7)</f>
        <v>2368308.5363258878</v>
      </c>
      <c r="O5" cm="1">
        <f t="array" ref="O5">cresteCantitatea(A5,C5)</f>
        <v>44</v>
      </c>
    </row>
    <row r="6" spans="1:15" x14ac:dyDescent="0.25">
      <c r="A6" t="s">
        <v>5</v>
      </c>
      <c r="B6" t="s">
        <v>9</v>
      </c>
      <c r="C6">
        <v>223</v>
      </c>
      <c r="D6">
        <v>1500</v>
      </c>
      <c r="E6">
        <f t="shared" si="0"/>
        <v>334500</v>
      </c>
      <c r="F6">
        <v>0.6</v>
      </c>
      <c r="G6">
        <f t="shared" si="1"/>
        <v>0.54999999999999993</v>
      </c>
      <c r="I6" t="s">
        <v>53</v>
      </c>
      <c r="J6">
        <f>SUM(E31,E33)</f>
        <v>420250</v>
      </c>
      <c r="O6" cm="1">
        <f t="array" ref="O6">cresteCantitatea(A6,C6)</f>
        <v>233</v>
      </c>
    </row>
    <row r="7" spans="1:15" x14ac:dyDescent="0.25">
      <c r="A7" t="s">
        <v>5</v>
      </c>
      <c r="B7" t="s">
        <v>10</v>
      </c>
      <c r="C7">
        <v>89</v>
      </c>
      <c r="D7">
        <v>700</v>
      </c>
      <c r="E7">
        <f t="shared" si="0"/>
        <v>62300</v>
      </c>
      <c r="F7">
        <v>0.25</v>
      </c>
      <c r="G7">
        <f t="shared" si="1"/>
        <v>0.2</v>
      </c>
      <c r="I7" t="s">
        <v>42</v>
      </c>
      <c r="J7">
        <f>SUM(E34,E39)</f>
        <v>156536</v>
      </c>
      <c r="O7" cm="1">
        <f t="array" ref="O7">cresteCantitatea(A7,C7)</f>
        <v>99</v>
      </c>
    </row>
    <row r="8" spans="1:15" x14ac:dyDescent="0.25">
      <c r="A8" t="s">
        <v>11</v>
      </c>
      <c r="B8" t="s">
        <v>12</v>
      </c>
      <c r="C8">
        <v>166</v>
      </c>
      <c r="D8">
        <v>2800</v>
      </c>
      <c r="E8">
        <f t="shared" si="0"/>
        <v>464800</v>
      </c>
      <c r="F8">
        <v>0.3</v>
      </c>
      <c r="G8">
        <f t="shared" si="1"/>
        <v>0.25</v>
      </c>
      <c r="O8" cm="1">
        <f t="array" ref="O8">cresteCantitatea(A8,C8)</f>
        <v>166</v>
      </c>
    </row>
    <row r="9" spans="1:15" x14ac:dyDescent="0.25">
      <c r="A9" t="s">
        <v>11</v>
      </c>
      <c r="B9" t="s">
        <v>13</v>
      </c>
      <c r="C9">
        <v>230</v>
      </c>
      <c r="D9">
        <v>50</v>
      </c>
      <c r="E9">
        <f t="shared" si="0"/>
        <v>11500</v>
      </c>
      <c r="F9">
        <v>0.35</v>
      </c>
      <c r="G9">
        <f t="shared" si="1"/>
        <v>0.3</v>
      </c>
      <c r="O9" cm="1">
        <f t="array" ref="O9">cresteCantitatea(A9,C9)</f>
        <v>230</v>
      </c>
    </row>
    <row r="10" spans="1:15" x14ac:dyDescent="0.25">
      <c r="A10" t="s">
        <v>11</v>
      </c>
      <c r="B10" t="s">
        <v>14</v>
      </c>
      <c r="C10">
        <v>109</v>
      </c>
      <c r="D10">
        <v>1000</v>
      </c>
      <c r="E10">
        <f t="shared" si="0"/>
        <v>109000</v>
      </c>
      <c r="F10">
        <v>0.4</v>
      </c>
      <c r="G10">
        <f t="shared" si="1"/>
        <v>0.35000000000000003</v>
      </c>
      <c r="O10" cm="1">
        <f t="array" ref="O10">cresteCantitatea(A10,C10)</f>
        <v>109</v>
      </c>
    </row>
    <row r="11" spans="1:15" x14ac:dyDescent="0.25">
      <c r="A11" t="s">
        <v>11</v>
      </c>
      <c r="B11" t="s">
        <v>27</v>
      </c>
      <c r="C11">
        <v>100</v>
      </c>
      <c r="D11">
        <v>500</v>
      </c>
      <c r="E11">
        <f t="shared" si="0"/>
        <v>50000</v>
      </c>
      <c r="F11">
        <v>0.25</v>
      </c>
      <c r="G11">
        <f t="shared" si="1"/>
        <v>0.2</v>
      </c>
      <c r="O11" cm="1">
        <f t="array" ref="O11">cresteCantitatea(A11,C11)</f>
        <v>100</v>
      </c>
    </row>
    <row r="12" spans="1:15" x14ac:dyDescent="0.25">
      <c r="A12" t="s">
        <v>11</v>
      </c>
      <c r="B12" t="s">
        <v>15</v>
      </c>
      <c r="C12">
        <v>191</v>
      </c>
      <c r="D12">
        <v>50</v>
      </c>
      <c r="E12">
        <f t="shared" si="0"/>
        <v>9550</v>
      </c>
      <c r="F12">
        <v>0.2</v>
      </c>
      <c r="G12">
        <f t="shared" si="1"/>
        <v>0.2</v>
      </c>
      <c r="O12" cm="1">
        <f t="array" ref="O12">cresteCantitatea(A12,C12)</f>
        <v>191</v>
      </c>
    </row>
    <row r="13" spans="1:15" x14ac:dyDescent="0.25">
      <c r="A13" t="s">
        <v>11</v>
      </c>
      <c r="B13" t="s">
        <v>16</v>
      </c>
      <c r="C13">
        <v>22</v>
      </c>
      <c r="D13">
        <v>2800</v>
      </c>
      <c r="E13">
        <f t="shared" si="0"/>
        <v>61600</v>
      </c>
      <c r="F13">
        <v>0.35</v>
      </c>
      <c r="G13">
        <f t="shared" si="1"/>
        <v>0.3</v>
      </c>
      <c r="O13" cm="1">
        <f t="array" ref="O13">cresteCantitatea(A13,C13)</f>
        <v>22</v>
      </c>
    </row>
    <row r="14" spans="1:15" x14ac:dyDescent="0.25">
      <c r="A14" t="s">
        <v>18</v>
      </c>
      <c r="B14" t="s">
        <v>17</v>
      </c>
      <c r="C14">
        <v>186</v>
      </c>
      <c r="D14">
        <v>2780</v>
      </c>
      <c r="E14">
        <f t="shared" si="0"/>
        <v>517080</v>
      </c>
      <c r="F14">
        <v>0.2</v>
      </c>
      <c r="G14">
        <f t="shared" si="1"/>
        <v>0.2</v>
      </c>
      <c r="O14" cm="1">
        <f t="array" ref="O14">cresteCantitatea(A14,C14)</f>
        <v>211</v>
      </c>
    </row>
    <row r="15" spans="1:15" x14ac:dyDescent="0.25">
      <c r="A15" t="s">
        <v>18</v>
      </c>
      <c r="B15" t="s">
        <v>19</v>
      </c>
      <c r="C15">
        <v>377</v>
      </c>
      <c r="D15">
        <v>150</v>
      </c>
      <c r="E15">
        <f t="shared" si="0"/>
        <v>56550</v>
      </c>
      <c r="F15">
        <v>0.1</v>
      </c>
      <c r="G15">
        <f t="shared" si="1"/>
        <v>0.1</v>
      </c>
      <c r="O15" cm="1">
        <f t="array" ref="O15">cresteCantitatea(A15,C15)</f>
        <v>402</v>
      </c>
    </row>
    <row r="16" spans="1:15" x14ac:dyDescent="0.25">
      <c r="A16" t="s">
        <v>18</v>
      </c>
      <c r="B16" t="s">
        <v>20</v>
      </c>
      <c r="C16">
        <v>16</v>
      </c>
      <c r="D16">
        <v>1700</v>
      </c>
      <c r="E16">
        <f t="shared" si="0"/>
        <v>27200</v>
      </c>
      <c r="F16">
        <v>0.4</v>
      </c>
      <c r="G16">
        <f t="shared" si="1"/>
        <v>0.35000000000000003</v>
      </c>
      <c r="O16" cm="1">
        <f t="array" ref="O16">cresteCantitatea(A16,C16)</f>
        <v>41</v>
      </c>
    </row>
    <row r="17" spans="1:15" x14ac:dyDescent="0.25">
      <c r="A17" t="s">
        <v>18</v>
      </c>
      <c r="B17" t="s">
        <v>21</v>
      </c>
      <c r="C17">
        <v>115</v>
      </c>
      <c r="D17">
        <v>500</v>
      </c>
      <c r="E17">
        <f t="shared" si="0"/>
        <v>57500</v>
      </c>
      <c r="F17">
        <v>0.15</v>
      </c>
      <c r="G17">
        <f t="shared" si="1"/>
        <v>0.15</v>
      </c>
      <c r="O17" cm="1">
        <f t="array" ref="O17">cresteCantitatea(A17,C17)</f>
        <v>140</v>
      </c>
    </row>
    <row r="18" spans="1:15" x14ac:dyDescent="0.25">
      <c r="A18" t="s">
        <v>18</v>
      </c>
      <c r="B18" t="s">
        <v>22</v>
      </c>
      <c r="C18">
        <v>86</v>
      </c>
      <c r="D18">
        <v>150</v>
      </c>
      <c r="E18">
        <f t="shared" si="0"/>
        <v>12900</v>
      </c>
      <c r="F18">
        <v>0.19</v>
      </c>
      <c r="G18">
        <f t="shared" si="1"/>
        <v>0.19</v>
      </c>
      <c r="O18" cm="1">
        <f t="array" ref="O18">cresteCantitatea(A18,C18)</f>
        <v>111</v>
      </c>
    </row>
    <row r="19" spans="1:15" x14ac:dyDescent="0.25">
      <c r="A19" t="s">
        <v>18</v>
      </c>
      <c r="B19" t="s">
        <v>23</v>
      </c>
      <c r="C19">
        <v>36</v>
      </c>
      <c r="D19">
        <v>150</v>
      </c>
      <c r="E19">
        <f t="shared" si="0"/>
        <v>5400</v>
      </c>
      <c r="F19">
        <v>0.15</v>
      </c>
      <c r="G19">
        <f t="shared" si="1"/>
        <v>0.15</v>
      </c>
      <c r="O19" cm="1">
        <f t="array" ref="O19">cresteCantitatea(A19,C19)</f>
        <v>61</v>
      </c>
    </row>
    <row r="20" spans="1:15" x14ac:dyDescent="0.25">
      <c r="A20" t="s">
        <v>18</v>
      </c>
      <c r="B20" t="s">
        <v>24</v>
      </c>
      <c r="C20">
        <v>17</v>
      </c>
      <c r="D20">
        <v>1600</v>
      </c>
      <c r="E20">
        <f t="shared" si="0"/>
        <v>27200</v>
      </c>
      <c r="F20">
        <v>0.2</v>
      </c>
      <c r="G20">
        <f t="shared" si="1"/>
        <v>0.2</v>
      </c>
      <c r="O20" cm="1">
        <f t="array" ref="O20">cresteCantitatea(A20,C20)</f>
        <v>42</v>
      </c>
    </row>
    <row r="21" spans="1:15" x14ac:dyDescent="0.25">
      <c r="A21" t="s">
        <v>18</v>
      </c>
      <c r="B21" t="s">
        <v>25</v>
      </c>
      <c r="C21">
        <v>176</v>
      </c>
      <c r="D21">
        <v>50</v>
      </c>
      <c r="E21">
        <f t="shared" si="0"/>
        <v>8800</v>
      </c>
      <c r="F21">
        <v>0.45</v>
      </c>
      <c r="G21">
        <f t="shared" si="1"/>
        <v>0.4</v>
      </c>
      <c r="O21" cm="1">
        <f t="array" ref="O21">cresteCantitatea(A21,C21)</f>
        <v>201</v>
      </c>
    </row>
    <row r="22" spans="1:15" x14ac:dyDescent="0.25">
      <c r="A22" s="2" t="s">
        <v>29</v>
      </c>
      <c r="B22" s="2" t="s">
        <v>30</v>
      </c>
      <c r="C22" s="2">
        <v>216</v>
      </c>
      <c r="D22" s="2">
        <v>3400</v>
      </c>
      <c r="E22" s="2">
        <v>734400</v>
      </c>
      <c r="F22" s="3">
        <v>0.22</v>
      </c>
      <c r="G22" s="4">
        <v>0.22</v>
      </c>
      <c r="O22" cm="1">
        <f t="array" ref="O22">cresteCantitatea(A22,C22)</f>
        <v>251</v>
      </c>
    </row>
    <row r="23" spans="1:15" x14ac:dyDescent="0.25">
      <c r="A23" s="2" t="s">
        <v>29</v>
      </c>
      <c r="B23" s="2" t="s">
        <v>31</v>
      </c>
      <c r="C23" s="2">
        <v>172</v>
      </c>
      <c r="D23" s="2">
        <v>4800</v>
      </c>
      <c r="E23" s="2">
        <v>825600</v>
      </c>
      <c r="F23" s="3">
        <v>0.1</v>
      </c>
      <c r="G23" s="4">
        <v>0.1</v>
      </c>
      <c r="O23" cm="1">
        <f t="array" ref="O23">cresteCantitatea(A23,C23)</f>
        <v>207</v>
      </c>
    </row>
    <row r="24" spans="1:15" x14ac:dyDescent="0.25">
      <c r="A24" s="2" t="s">
        <v>29</v>
      </c>
      <c r="B24" s="2" t="s">
        <v>32</v>
      </c>
      <c r="C24" s="2">
        <v>67</v>
      </c>
      <c r="D24" s="2">
        <v>250</v>
      </c>
      <c r="E24" s="2">
        <v>16750</v>
      </c>
      <c r="F24" s="3">
        <v>0.13</v>
      </c>
      <c r="G24" s="4">
        <v>0.13</v>
      </c>
      <c r="O24" cm="1">
        <f t="array" ref="O24">cresteCantitatea(A24,C24)</f>
        <v>102</v>
      </c>
    </row>
    <row r="25" spans="1:15" x14ac:dyDescent="0.25">
      <c r="A25" s="2" t="s">
        <v>29</v>
      </c>
      <c r="B25" s="2" t="s">
        <v>33</v>
      </c>
      <c r="C25" s="2">
        <v>207</v>
      </c>
      <c r="D25" s="2">
        <v>80</v>
      </c>
      <c r="E25" s="2">
        <v>16560</v>
      </c>
      <c r="F25" s="3">
        <v>0.22</v>
      </c>
      <c r="G25" s="4">
        <v>0.22</v>
      </c>
      <c r="O25" cm="1">
        <f t="array" ref="O25">cresteCantitatea(A25,C25)</f>
        <v>242</v>
      </c>
    </row>
    <row r="26" spans="1:15" x14ac:dyDescent="0.25">
      <c r="A26" s="4" t="s">
        <v>29</v>
      </c>
      <c r="B26" s="4" t="s">
        <v>34</v>
      </c>
      <c r="C26" s="4">
        <v>283</v>
      </c>
      <c r="D26" s="4">
        <v>150</v>
      </c>
      <c r="E26" s="4">
        <v>42450</v>
      </c>
      <c r="F26" s="4">
        <v>0</v>
      </c>
      <c r="G26" s="4">
        <v>0</v>
      </c>
      <c r="O26" cm="1">
        <f t="array" ref="O26">cresteCantitatea(A26,C26)</f>
        <v>318</v>
      </c>
    </row>
    <row r="27" spans="1:15" x14ac:dyDescent="0.25">
      <c r="A27" s="4" t="s">
        <v>29</v>
      </c>
      <c r="B27" s="4" t="s">
        <v>35</v>
      </c>
      <c r="C27" s="4">
        <v>144</v>
      </c>
      <c r="D27" s="4">
        <v>220</v>
      </c>
      <c r="E27" s="4">
        <v>31680</v>
      </c>
      <c r="F27" s="4">
        <v>0.01</v>
      </c>
      <c r="G27" s="4">
        <v>0.01</v>
      </c>
      <c r="O27" cm="1">
        <f t="array" ref="O27">cresteCantitatea(A27,C27)</f>
        <v>179</v>
      </c>
    </row>
    <row r="28" spans="1:15" x14ac:dyDescent="0.25">
      <c r="A28" s="4" t="s">
        <v>29</v>
      </c>
      <c r="B28" s="4" t="s">
        <v>36</v>
      </c>
      <c r="C28" s="4">
        <v>118</v>
      </c>
      <c r="D28" s="4">
        <v>815</v>
      </c>
      <c r="E28" s="4">
        <v>96170</v>
      </c>
      <c r="F28" s="4">
        <v>0.15</v>
      </c>
      <c r="G28" s="4">
        <v>0.15</v>
      </c>
      <c r="O28" cm="1">
        <f t="array" ref="O28">cresteCantitatea(A28,C28)</f>
        <v>153</v>
      </c>
    </row>
    <row r="29" spans="1:15" x14ac:dyDescent="0.25">
      <c r="A29" s="4" t="s">
        <v>29</v>
      </c>
      <c r="B29" s="4" t="s">
        <v>37</v>
      </c>
      <c r="C29" s="4">
        <v>133</v>
      </c>
      <c r="D29" s="4">
        <v>1200</v>
      </c>
      <c r="E29" s="4">
        <v>159600</v>
      </c>
      <c r="F29" s="4">
        <v>0.05</v>
      </c>
      <c r="G29" s="4">
        <v>0.05</v>
      </c>
      <c r="O29" cm="1">
        <f t="array" ref="O29">cresteCantitatea(A29,C29)</f>
        <v>168</v>
      </c>
    </row>
    <row r="30" spans="1:15" x14ac:dyDescent="0.25">
      <c r="A30" s="4" t="s">
        <v>29</v>
      </c>
      <c r="B30" s="4" t="s">
        <v>38</v>
      </c>
      <c r="C30" s="4">
        <v>18</v>
      </c>
      <c r="D30" s="4">
        <v>90</v>
      </c>
      <c r="E30" s="4">
        <v>1620</v>
      </c>
      <c r="F30" s="4">
        <v>0.19</v>
      </c>
      <c r="G30" s="4">
        <v>0.19</v>
      </c>
      <c r="O30" cm="1">
        <f t="array" ref="O30">cresteCantitatea(A30,C30)</f>
        <v>53</v>
      </c>
    </row>
    <row r="31" spans="1:15" x14ac:dyDescent="0.25">
      <c r="A31" s="4" t="s">
        <v>53</v>
      </c>
      <c r="B31" s="4" t="s">
        <v>39</v>
      </c>
      <c r="C31" s="4">
        <v>205</v>
      </c>
      <c r="D31" s="4">
        <v>970</v>
      </c>
      <c r="E31" s="4">
        <v>198850</v>
      </c>
      <c r="F31" s="4">
        <v>0.4</v>
      </c>
      <c r="G31" s="4">
        <v>0.35000000000000003</v>
      </c>
      <c r="O31" cm="1">
        <f t="array" ref="O31">cresteCantitatea(A31,C31)</f>
        <v>205</v>
      </c>
    </row>
    <row r="32" spans="1:15" x14ac:dyDescent="0.25">
      <c r="A32" s="4" t="s">
        <v>53</v>
      </c>
      <c r="B32" s="4" t="s">
        <v>40</v>
      </c>
      <c r="C32" s="4">
        <v>86</v>
      </c>
      <c r="D32" s="4">
        <v>470</v>
      </c>
      <c r="E32" s="4">
        <v>40420</v>
      </c>
      <c r="F32" s="4">
        <v>0.3</v>
      </c>
      <c r="G32" s="4">
        <v>0.25</v>
      </c>
      <c r="O32" cm="1">
        <f t="array" ref="O32">cresteCantitatea(A32,C32)</f>
        <v>86</v>
      </c>
    </row>
    <row r="33" spans="1:15" x14ac:dyDescent="0.25">
      <c r="A33" s="4" t="s">
        <v>53</v>
      </c>
      <c r="B33" s="4" t="s">
        <v>41</v>
      </c>
      <c r="C33" s="4">
        <v>123</v>
      </c>
      <c r="D33" s="4">
        <v>1800</v>
      </c>
      <c r="E33" s="4">
        <v>221400</v>
      </c>
      <c r="F33" s="4">
        <v>0.18</v>
      </c>
      <c r="G33" s="4">
        <v>0.18</v>
      </c>
      <c r="O33" cm="1">
        <f t="array" ref="O33">cresteCantitatea(A33,C33)</f>
        <v>123</v>
      </c>
    </row>
    <row r="34" spans="1:15" x14ac:dyDescent="0.25">
      <c r="A34" s="4" t="s">
        <v>42</v>
      </c>
      <c r="B34" s="4" t="s">
        <v>43</v>
      </c>
      <c r="C34" s="4">
        <v>232</v>
      </c>
      <c r="D34" s="4">
        <v>590</v>
      </c>
      <c r="E34" s="4">
        <v>136880</v>
      </c>
      <c r="F34" s="4">
        <v>0.12</v>
      </c>
      <c r="G34" s="4">
        <v>0.12</v>
      </c>
      <c r="O34" cm="1">
        <f t="array" ref="O34">cresteCantitatea(A34,C34)</f>
        <v>232</v>
      </c>
    </row>
    <row r="35" spans="1:15" x14ac:dyDescent="0.25">
      <c r="A35" s="4" t="s">
        <v>42</v>
      </c>
      <c r="B35" s="4" t="s">
        <v>55</v>
      </c>
      <c r="C35" s="4">
        <v>51</v>
      </c>
      <c r="D35" s="4">
        <v>100</v>
      </c>
      <c r="E35" s="4">
        <v>5100</v>
      </c>
      <c r="F35" s="4">
        <v>0</v>
      </c>
      <c r="G35" s="4">
        <v>0</v>
      </c>
      <c r="O35" cm="1">
        <f t="array" ref="O35">cresteCantitatea(A35,C35)</f>
        <v>51</v>
      </c>
    </row>
    <row r="36" spans="1:15" x14ac:dyDescent="0.25">
      <c r="A36" s="4" t="s">
        <v>42</v>
      </c>
      <c r="B36" s="4" t="s">
        <v>45</v>
      </c>
      <c r="C36" s="4">
        <v>43</v>
      </c>
      <c r="D36" s="4">
        <v>99</v>
      </c>
      <c r="E36" s="4">
        <v>4257</v>
      </c>
      <c r="F36" s="4">
        <v>0.28000000000000003</v>
      </c>
      <c r="G36" s="4">
        <v>0.28000000000000003</v>
      </c>
      <c r="O36" cm="1">
        <f t="array" ref="O36">cresteCantitatea(A36,C36)</f>
        <v>43</v>
      </c>
    </row>
    <row r="37" spans="1:15" x14ac:dyDescent="0.25">
      <c r="A37" s="4" t="s">
        <v>42</v>
      </c>
      <c r="B37" s="4" t="s">
        <v>56</v>
      </c>
      <c r="C37" s="4">
        <v>152</v>
      </c>
      <c r="D37" s="4">
        <v>350</v>
      </c>
      <c r="E37" s="4">
        <v>53200</v>
      </c>
      <c r="F37" s="4">
        <v>0.26</v>
      </c>
      <c r="G37" s="4">
        <v>0.26</v>
      </c>
      <c r="O37" cm="1">
        <f t="array" ref="O37">cresteCantitatea(A37,C37)</f>
        <v>152</v>
      </c>
    </row>
    <row r="38" spans="1:15" x14ac:dyDescent="0.25">
      <c r="A38" s="4" t="s">
        <v>42</v>
      </c>
      <c r="B38" s="4" t="s">
        <v>47</v>
      </c>
      <c r="C38" s="4">
        <v>34</v>
      </c>
      <c r="D38" s="4">
        <v>510</v>
      </c>
      <c r="E38" s="4">
        <v>17340</v>
      </c>
      <c r="F38" s="4">
        <v>0.3</v>
      </c>
      <c r="G38" s="4">
        <v>0.25</v>
      </c>
      <c r="O38" cm="1">
        <f t="array" ref="O38">cresteCantitatea(A38,C38)</f>
        <v>34</v>
      </c>
    </row>
    <row r="39" spans="1:15" x14ac:dyDescent="0.25">
      <c r="A39" s="4" t="s">
        <v>42</v>
      </c>
      <c r="B39" s="4" t="s">
        <v>48</v>
      </c>
      <c r="C39" s="4">
        <v>42</v>
      </c>
      <c r="D39" s="4">
        <v>468</v>
      </c>
      <c r="E39" s="4">
        <v>19656</v>
      </c>
      <c r="F39" s="4">
        <v>0.05</v>
      </c>
      <c r="G39" s="4">
        <v>0.05</v>
      </c>
      <c r="O39" cm="1">
        <f t="array" ref="O39">cresteCantitatea(A39,C39)</f>
        <v>42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2015-06-05T18:17:20Z</dcterms:created>
  <dcterms:modified xsi:type="dcterms:W3CDTF">2021-05-19T22:03:16Z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a118155c-26fa-4f54-beb0-bfaf8f50e2e4</vt:lpwstr>
  </property>
</Properties>
</file>